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000"/>
  </bookViews>
  <sheets>
    <sheet name="2025-Enero" sheetId="1" r:id="rId1"/>
  </sheets>
  <externalReferences>
    <externalReference r:id="rId2"/>
  </externalReferences>
  <definedNames>
    <definedName name="ANSSAL">[1]DIMES!$C$148</definedName>
    <definedName name="_xlnm.Print_Area" localSheetId="0">'2025-Enero'!$A$1:$F$75</definedName>
    <definedName name="borrar">+'2025-Enero'!A1048568:M1048574</definedName>
    <definedName name="MES">[1]DIMES!$C$151</definedName>
    <definedName name="Salida_Diaria">'2025-Enero'!$A$1:$F$75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<sst xmlns="http://schemas.openxmlformats.org/spreadsheetml/2006/main" count="64" uniqueCount="60">
  <si>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</si>
  <si>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</si>
  <si>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</si>
  <si>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</si>
  <si>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</si>
  <si>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</si>
  <si>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</si>
  <si>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</si>
  <si>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</si>
  <si>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</si>
  <si>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</si>
  <si>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ENERO DE 2025. (1) </t>
  </si>
  <si>
    <t>Ene. '25</t>
  </si>
  <si>
    <t>Ene. '24</t>
  </si>
  <si>
    <t>Ene. '25 /</t>
  </si>
  <si>
    <t>Dic.24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</si>
  <si>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</si>
  <si>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</si>
  <si>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</si>
  <si>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</si>
  <si>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</si>
  <si>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</si>
  <si>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</si>
  <si>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</si>
  <si>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</si>
  <si>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</si>
  <si>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</si>
  <si>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</si>
  <si>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</si>
  <si>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</si>
  <si>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Regularización de Activos (*)</t>
  </si>
  <si>
    <t xml:space="preserve">***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</si>
  <si>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</si>
  <si>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</si>
  <si>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</si>
  <si>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</si>
  <si>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</si>
  <si>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</si>
  <si>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</si>
  <si>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</si>
  <si>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</si>
  <si>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</si>
  <si>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</si>
  <si>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</si>
  <si>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</si>
  <si>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</si>
  <si>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</si>
  <si>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</si>
  <si>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</si>
  <si>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</si>
  <si>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</si>
  <si>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</si>
  <si>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</si>
  <si>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</si>
  <si>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</si>
  <si>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</si>
  <si>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</si>
  <si>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</si>
  <si>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$3.446 millones durante el mes en curso.</t>
  </si>
  <si>
    <t xml:space="preserve"> ## Incluye los ingresos por aportes a obra social del Monotributo. Además, contiene diariamente la diferencia entre la recaudación y la distribución a organismos de la Seguridad Social, la cual se regulariza durante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</si>
</sst>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27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94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6" fontId="6" fillId="2" borderId="5" xfId="0" applyNumberFormat="1" applyFont="1" applyFill="1" applyBorder="1" applyAlignment="1" applyProtection="1">
      <alignment vertical="center"/>
    </xf>
    <xf numFmtId="164" fontId="7" fillId="2" borderId="8" xfId="0" quotePrefix="1" applyFont="1" applyFill="1" applyBorder="1" applyAlignment="1">
      <alignment horizontal="center" vertical="center"/>
    </xf>
    <xf numFmtId="164" fontId="7" fillId="2" borderId="9" xfId="0" quotePrefix="1" applyFont="1" applyFill="1" applyBorder="1" applyAlignment="1">
      <alignment horizontal="center"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9" xfId="0" applyFont="1" applyFill="1" applyBorder="1" applyAlignment="1">
      <alignment vertical="center"/>
    </xf>
    <xf numFmtId="164" fontId="7" fillId="2" borderId="10" xfId="0" applyFont="1" applyFill="1" applyBorder="1" applyAlignment="1" applyProtection="1">
      <alignment horizontal="center" vertical="center"/>
    </xf>
    <xf numFmtId="166" fontId="6" fillId="2" borderId="5" xfId="0" applyNumberFormat="1" applyFont="1" applyFill="1" applyBorder="1" applyAlignment="1" applyProtection="1">
      <alignment horizontal="center" vertical="center"/>
    </xf>
    <xf numFmtId="164" fontId="7" fillId="2" borderId="8" xfId="0" applyFont="1" applyFill="1" applyBorder="1" applyAlignment="1" applyProtection="1">
      <alignment horizontal="center" vertical="center"/>
    </xf>
    <xf numFmtId="164" fontId="7" fillId="2" borderId="9" xfId="0" applyFont="1" applyFill="1" applyBorder="1" applyAlignment="1" applyProtection="1">
      <alignment horizontal="center" vertical="center"/>
    </xf>
    <xf numFmtId="164" fontId="7" fillId="2" borderId="8" xfId="0" applyFont="1" applyFill="1" applyBorder="1" applyAlignment="1">
      <alignment horizontal="center" vertical="center"/>
    </xf>
    <xf numFmtId="164" fontId="7" fillId="2" borderId="9" xfId="0" applyFont="1" applyFill="1" applyBorder="1" applyAlignment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6" xfId="0" applyNumberFormat="1" applyFont="1" applyFill="1" applyBorder="1" applyAlignment="1" applyProtection="1">
      <alignment vertical="center"/>
    </xf>
    <xf numFmtId="164" fontId="8" fillId="3" borderId="11" xfId="0" applyFont="1" applyFill="1" applyBorder="1" applyAlignment="1">
      <alignment vertical="center"/>
    </xf>
    <xf numFmtId="164" fontId="8" fillId="3" borderId="12" xfId="0" applyFont="1" applyFill="1" applyBorder="1" applyAlignment="1">
      <alignment vertical="center"/>
    </xf>
    <xf numFmtId="164" fontId="8" fillId="3" borderId="7" xfId="0" applyFont="1" applyFill="1" applyBorder="1" applyAlignment="1">
      <alignment vertical="center"/>
    </xf>
    <xf numFmtId="164" fontId="9" fillId="3" borderId="12" xfId="0" applyFont="1" applyFill="1" applyBorder="1" applyAlignment="1">
      <alignment vertical="center"/>
    </xf>
    <xf numFmtId="164" fontId="10" fillId="3" borderId="7" xfId="0" applyFont="1" applyFill="1" applyBorder="1" applyAlignment="1">
      <alignment vertical="center"/>
    </xf>
    <xf numFmtId="164" fontId="1" fillId="0" borderId="14" xfId="0" applyFont="1" applyFill="1" applyBorder="1"/>
    <xf numFmtId="164" fontId="1" fillId="0" borderId="8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9" xfId="0" applyFont="1" applyFill="1" applyBorder="1" applyAlignment="1">
      <alignment vertical="center"/>
    </xf>
    <xf numFmtId="164" fontId="1" fillId="0" borderId="10" xfId="0" applyFont="1" applyFill="1" applyBorder="1" applyAlignment="1">
      <alignment vertical="center"/>
    </xf>
    <xf numFmtId="164" fontId="11" fillId="0" borderId="5" xfId="0" applyFont="1" applyFill="1" applyBorder="1" applyAlignment="1" applyProtection="1">
      <alignment vertical="center"/>
    </xf>
    <xf numFmtId="168" fontId="12" fillId="0" borderId="8" xfId="0" applyNumberFormat="1" applyFont="1" applyFill="1" applyBorder="1" applyAlignment="1" applyProtection="1">
      <alignment vertical="center"/>
    </xf>
    <xf numFmtId="168" fontId="12" fillId="0" borderId="9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0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5" xfId="0" applyFont="1" applyFill="1" applyBorder="1" applyAlignment="1" applyProtection="1">
      <alignment vertical="center"/>
    </xf>
    <xf numFmtId="168" fontId="13" fillId="0" borderId="8" xfId="0" applyNumberFormat="1" applyFont="1" applyFill="1" applyBorder="1" applyAlignment="1" applyProtection="1">
      <alignment vertical="center"/>
    </xf>
    <xf numFmtId="168" fontId="13" fillId="0" borderId="9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0" xfId="0" applyNumberFormat="1" applyFont="1" applyFill="1" applyBorder="1" applyAlignment="1" applyProtection="1">
      <alignment horizontal="right" vertical="center"/>
    </xf>
    <xf numFmtId="164" fontId="4" fillId="0" borderId="15" xfId="0" applyFont="1" applyFill="1" applyBorder="1" applyProtection="1"/>
    <xf numFmtId="168" fontId="12" fillId="0" borderId="8" xfId="0" applyNumberFormat="1" applyFont="1" applyFill="1" applyBorder="1" applyAlignment="1">
      <alignment vertical="center"/>
    </xf>
    <xf numFmtId="164" fontId="14" fillId="0" borderId="5" xfId="0" applyFont="1" applyFill="1" applyBorder="1" applyAlignment="1" applyProtection="1">
      <alignment vertical="center"/>
    </xf>
    <xf numFmtId="172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0" xfId="0" applyNumberFormat="1" applyFont="1" applyFill="1" applyBorder="1" applyAlignment="1" applyProtection="1">
      <alignment horizontal="right" vertical="center"/>
    </xf>
    <xf numFmtId="164" fontId="15" fillId="4" borderId="16" xfId="0" applyFont="1" applyFill="1" applyBorder="1" applyAlignment="1" applyProtection="1">
      <alignment vertical="center"/>
    </xf>
    <xf numFmtId="168" fontId="15" fillId="4" borderId="17" xfId="0" applyNumberFormat="1" applyFont="1" applyFill="1" applyBorder="1" applyAlignment="1" applyProtection="1">
      <alignment horizontal="right" vertical="center"/>
    </xf>
    <xf numFmtId="168" fontId="15" fillId="4" borderId="19" xfId="0" applyNumberFormat="1" applyFont="1" applyFill="1" applyBorder="1" applyAlignment="1" applyProtection="1">
      <alignment vertical="center"/>
    </xf>
    <xf numFmtId="167" fontId="15" fillId="4" borderId="20" xfId="0" applyNumberFormat="1" applyFont="1" applyFill="1" applyBorder="1" applyAlignment="1" applyProtection="1">
      <alignment horizontal="right" vertical="center"/>
    </xf>
    <xf numFmtId="167" fontId="15" fillId="4" borderId="18" xfId="0" applyNumberFormat="1" applyFont="1" applyFill="1" applyBorder="1" applyAlignment="1" applyProtection="1">
      <alignment horizontal="right" vertical="center"/>
    </xf>
    <xf numFmtId="164" fontId="4" fillId="0" borderId="21" xfId="0" applyFont="1" applyFill="1" applyBorder="1" applyAlignment="1" applyProtection="1">
      <alignment vertical="center"/>
    </xf>
    <xf numFmtId="166" fontId="4" fillId="0" borderId="22" xfId="0" applyNumberFormat="1" applyFont="1" applyFill="1" applyBorder="1" applyAlignment="1" applyProtection="1">
      <alignment horizontal="right" vertical="center"/>
    </xf>
    <xf numFmtId="171" fontId="4" fillId="0" borderId="23" xfId="0" applyNumberFormat="1" applyFont="1" applyFill="1" applyBorder="1" applyAlignment="1" applyProtection="1">
      <alignment horizontal="right" vertical="center"/>
    </xf>
    <xf numFmtId="172" fontId="1" fillId="0" borderId="24" xfId="0" applyNumberFormat="1" applyFont="1" applyFill="1" applyBorder="1" applyAlignment="1">
      <alignment vertical="center"/>
    </xf>
    <xf numFmtId="171" fontId="4" fillId="0" borderId="25" xfId="0" applyNumberFormat="1" applyFont="1" applyFill="1" applyBorder="1" applyAlignment="1" applyProtection="1">
      <alignment horizontal="right" vertical="center"/>
    </xf>
    <xf numFmtId="164" fontId="4" fillId="0" borderId="5" xfId="0" applyFont="1" applyFill="1" applyBorder="1" applyAlignment="1" applyProtection="1">
      <alignment vertical="center"/>
    </xf>
    <xf numFmtId="166" fontId="4" fillId="0" borderId="9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8" xfId="0" applyNumberFormat="1" applyFont="1" applyFill="1" applyBorder="1" applyAlignment="1" applyProtection="1">
      <alignment vertical="center"/>
    </xf>
    <xf numFmtId="171" fontId="4" fillId="0" borderId="10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8" xfId="0" applyNumberFormat="1" applyFont="1" applyFill="1" applyBorder="1" applyAlignment="1" applyProtection="1">
      <alignment vertical="center"/>
    </xf>
    <xf numFmtId="168" fontId="16" fillId="0" borderId="9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8" xfId="0" applyNumberFormat="1" applyFont="1" applyFill="1" applyBorder="1" applyAlignment="1">
      <alignment vertical="center"/>
    </xf>
    <xf numFmtId="167" fontId="16" fillId="0" borderId="10" xfId="0" applyNumberFormat="1" applyFont="1" applyFill="1" applyBorder="1" applyAlignment="1" applyProtection="1">
      <alignment horizontal="right" vertical="center"/>
    </xf>
    <xf numFmtId="164" fontId="14" fillId="0" borderId="26" xfId="0" applyFont="1" applyFill="1" applyBorder="1" applyAlignment="1" applyProtection="1">
      <alignment vertical="center"/>
    </xf>
    <xf numFmtId="166" fontId="1" fillId="0" borderId="12" xfId="0" applyNumberFormat="1" applyFont="1" applyFill="1" applyBorder="1" applyAlignment="1" applyProtection="1">
      <alignment vertical="center"/>
    </xf>
    <xf numFmtId="166" fontId="1" fillId="0" borderId="13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6" fontId="1" fillId="0" borderId="7" xfId="0" applyNumberFormat="1" applyFont="1" applyFill="1" applyBorder="1" applyAlignment="1" applyProtection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H76"/>
  <sheetViews>
    <sheetView showGridLines="0" tabSelected="1" zoomScale="80" zoomScaleNormal="80" workbookViewId="0"/>
  </sheetViews>
  <sheetFormatPr baseColWidth="10" defaultColWidth="9.75" defaultRowHeight="11.7" customHeight="1" x14ac:dyDescent="0.5500000000000000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9.125" style="3" customWidth="1"/>
    <col min="7" max="8" width="9.75" style="3"/>
    <col min="9" max="9" width="10.5625" style="3" bestFit="1" customWidth="1"/>
    <col min="10" max="26" width="9.75" style="3"/>
    <col min="27" max="27" width="11.6875" style="3" bestFit="1" customWidth="1"/>
    <col min="28" max="28" width="10.25" style="3" bestFit="1" customWidth="1"/>
    <col min="29" max="29" width="11.6875" style="3" bestFit="1" customWidth="1"/>
    <col min="30" max="30" width="10.25" style="3" bestFit="1" customWidth="1"/>
    <col min="31" max="31" width="12.4375" style="3" bestFit="1" customWidth="1"/>
    <col min="32" max="34" width="10.25" style="3" bestFit="1" customWidth="1"/>
    <col min="35" max="16384" width="9.75" style="3"/>
  </cols>
  <sheetData>
    <row r="1" spans="1:7" ht="20.9" customHeight="1" x14ac:dyDescent="0.55000000000000004">
      <c r="A1" s="1"/>
      <c r="B1" s="1"/>
      <c r="C1" s="1"/>
      <c r="D1" s="1"/>
      <c r="E1" s="2"/>
      <c r="F1" s="2" t="s">
        <v>0</v>
      </c>
    </row>
    <row r="2" spans="1:7" ht="20.9" customHeight="1" x14ac:dyDescent="0.55000000000000004">
      <c r="A2" s="1"/>
      <c r="B2" s="1"/>
      <c r="C2" s="1"/>
      <c r="D2" s="1"/>
      <c r="E2" s="4"/>
      <c r="F2" s="4" t="s">
        <v>1</v>
      </c>
    </row>
    <row r="3" spans="1:7" ht="20.9" customHeight="1" x14ac:dyDescent="0.55000000000000004">
      <c r="A3" s="5"/>
      <c r="B3" s="5"/>
      <c r="C3" s="5"/>
      <c r="D3" s="5"/>
      <c r="E3" s="2"/>
      <c r="F3" s="2" t="s">
        <v>2</v>
      </c>
    </row>
    <row r="4" spans="1:7" ht="20.9" customHeight="1" x14ac:dyDescent="0.55000000000000004">
      <c r="A4" s="6"/>
      <c r="B4" s="6"/>
      <c r="C4" s="6"/>
      <c r="D4" s="6"/>
      <c r="E4" s="7"/>
      <c r="F4" s="7">
        <v>45691</v>
      </c>
    </row>
    <row r="5" spans="1:7" ht="36.75" customHeight="1" x14ac:dyDescent="0.55000000000000004">
      <c r="A5" s="8" t="s">
        <v>11</v>
      </c>
      <c r="B5" s="9"/>
      <c r="C5" s="9"/>
      <c r="D5" s="9"/>
      <c r="E5" s="9"/>
      <c r="F5" s="9"/>
    </row>
    <row r="6" spans="1:7" ht="16.2" customHeight="1" x14ac:dyDescent="0.75">
      <c r="A6" s="10" t="s">
        <v>3</v>
      </c>
      <c r="B6" s="11"/>
      <c r="C6" s="11"/>
      <c r="D6" s="11"/>
      <c r="E6" s="11"/>
      <c r="F6" s="11"/>
    </row>
    <row r="10" spans="1:7" ht="6" customHeight="1" thickBot="1" x14ac:dyDescent="0.6">
      <c r="A10" s="12"/>
    </row>
    <row r="11" spans="1:7" ht="11.7" customHeight="1" x14ac:dyDescent="0.55000000000000004">
      <c r="A11" s="13"/>
      <c r="B11" s="14"/>
      <c r="C11" s="15"/>
      <c r="D11" s="16"/>
      <c r="E11" s="15"/>
      <c r="F11" s="16"/>
    </row>
    <row r="12" spans="1:7" ht="16.2" customHeight="1" x14ac:dyDescent="0.55000000000000004">
      <c r="A12" s="17"/>
      <c r="B12" s="18"/>
      <c r="C12" s="19"/>
      <c r="D12" s="20" t="s">
        <v>4</v>
      </c>
      <c r="E12" s="21"/>
      <c r="F12" s="22" t="s">
        <v>4</v>
      </c>
    </row>
    <row r="13" spans="1:7" ht="16" customHeight="1" x14ac:dyDescent="0.55000000000000004">
      <c r="A13" s="23" t="s">
        <v>5</v>
      </c>
      <c r="B13" s="24" t="s">
        <v>12</v>
      </c>
      <c r="C13" s="25" t="s">
        <v>13</v>
      </c>
      <c r="D13" s="22" t="s">
        <v>14</v>
      </c>
      <c r="E13" s="25" t="s">
        <v>15</v>
      </c>
      <c r="F13" s="22" t="s">
        <v>14</v>
      </c>
    </row>
    <row r="14" spans="1:7" ht="16" customHeight="1" x14ac:dyDescent="0.55000000000000004">
      <c r="A14" s="17"/>
      <c r="B14" s="26"/>
      <c r="C14" s="27"/>
      <c r="D14" s="28" t="s">
        <v>13</v>
      </c>
      <c r="E14" s="21"/>
      <c r="F14" s="22" t="s">
        <v>15</v>
      </c>
      <c r="G14" s="29"/>
    </row>
    <row r="15" spans="1:7" ht="3" customHeight="1" thickBot="1" x14ac:dyDescent="0.6">
      <c r="A15" s="30"/>
      <c r="B15" s="31"/>
      <c r="C15" s="32"/>
      <c r="D15" s="33"/>
      <c r="E15" s="34"/>
      <c r="F15" s="35"/>
    </row>
    <row r="16" spans="1:7" ht="9" customHeight="1" x14ac:dyDescent="0.55000000000000004">
      <c r="A16" s="36"/>
      <c r="B16" s="37"/>
      <c r="C16" s="38"/>
      <c r="D16" s="39"/>
      <c r="E16" s="40"/>
      <c r="F16" s="41"/>
    </row>
    <row r="17" spans="1:34" ht="13.95" customHeight="1" x14ac:dyDescent="0.55000000000000004">
      <c r="A17" s="42" t="s">
        <v>16</v>
      </c>
      <c r="B17" s="43">
        <v>2570019.9034962603</v>
      </c>
      <c r="C17" s="44">
        <v>1021902.7502912299</v>
      </c>
      <c r="D17" s="45">
        <v>151.49358906841536</v>
      </c>
      <c r="E17" s="44">
        <v>2559542.8738407902</v>
      </c>
      <c r="F17" s="46">
        <v>0.40933206325817206</v>
      </c>
      <c r="H17" s="47"/>
      <c r="I17" s="48"/>
      <c r="AA17" s="47"/>
      <c r="AB17" s="47"/>
      <c r="AC17" s="47"/>
      <c r="AD17" s="47"/>
      <c r="AE17" s="47"/>
      <c r="AF17" s="47"/>
      <c r="AG17" s="47"/>
      <c r="AH17" s="47"/>
    </row>
    <row r="18" spans="1:34" ht="13.95" customHeight="1" x14ac:dyDescent="0.55000000000000004">
      <c r="A18" s="49" t="s">
        <v>17</v>
      </c>
      <c r="B18" s="50">
        <v>2285083.6237952095</v>
      </c>
      <c r="C18" s="51">
        <v>822442.5057425499</v>
      </c>
      <c r="D18" s="52">
        <v>177.84113878356766</v>
      </c>
      <c r="E18" s="51">
        <v>2318569.05949387</v>
      </c>
      <c r="F18" s="53">
        <v>-1.444228523689961</v>
      </c>
      <c r="H18" s="47"/>
      <c r="I18" s="48"/>
      <c r="AA18" s="47"/>
      <c r="AB18" s="47"/>
      <c r="AC18" s="47"/>
      <c r="AD18" s="47"/>
      <c r="AE18" s="47"/>
      <c r="AF18" s="47"/>
      <c r="AG18" s="47"/>
      <c r="AH18" s="47"/>
    </row>
    <row r="19" spans="1:34" ht="13.95" customHeight="1" x14ac:dyDescent="0.55000000000000004">
      <c r="A19" s="49" t="s">
        <v>18</v>
      </c>
      <c r="B19" s="50">
        <v>284936.27970105002</v>
      </c>
      <c r="C19" s="51">
        <v>199460.24454868</v>
      </c>
      <c r="D19" s="52">
        <v>42.853670086375971</v>
      </c>
      <c r="E19" s="51">
        <v>240973.81434692</v>
      </c>
      <c r="F19" s="53">
        <v>18.243669119516493</v>
      </c>
      <c r="H19" s="47"/>
      <c r="I19" s="48"/>
      <c r="AA19" s="47"/>
      <c r="AB19" s="47"/>
      <c r="AC19" s="47"/>
      <c r="AD19" s="47"/>
      <c r="AE19" s="47"/>
      <c r="AF19" s="47"/>
      <c r="AG19" s="47"/>
      <c r="AH19" s="47"/>
    </row>
    <row r="20" spans="1:34" ht="13.95" customHeight="1" x14ac:dyDescent="0.55000000000000004">
      <c r="A20" s="42" t="s">
        <v>19</v>
      </c>
      <c r="B20" s="43">
        <v>5337719.1659588004</v>
      </c>
      <c r="C20" s="44">
        <v>2850797.2580764499</v>
      </c>
      <c r="D20" s="45">
        <v>87.236014446021287</v>
      </c>
      <c r="E20" s="44">
        <v>4475623.1861312203</v>
      </c>
      <c r="F20" s="46">
        <v>19.262032212608716</v>
      </c>
      <c r="H20" s="47"/>
      <c r="I20" s="48"/>
      <c r="AA20" s="47"/>
      <c r="AB20" s="47"/>
      <c r="AC20" s="47"/>
      <c r="AD20" s="47"/>
      <c r="AE20" s="47"/>
      <c r="AF20" s="47"/>
      <c r="AG20" s="47"/>
      <c r="AH20" s="47"/>
    </row>
    <row r="21" spans="1:34" ht="13.95" customHeight="1" x14ac:dyDescent="0.55000000000000004">
      <c r="A21" s="49" t="s">
        <v>20</v>
      </c>
      <c r="B21" s="50">
        <v>3541998.2723546699</v>
      </c>
      <c r="C21" s="51">
        <v>1604347.6970647699</v>
      </c>
      <c r="D21" s="52">
        <v>120.77497782026447</v>
      </c>
      <c r="E21" s="51">
        <v>3023073.4514884003</v>
      </c>
      <c r="F21" s="53">
        <v>17.165471801910016</v>
      </c>
      <c r="H21" s="47"/>
      <c r="I21" s="48"/>
      <c r="AA21" s="47"/>
      <c r="AB21" s="47"/>
      <c r="AC21" s="47"/>
      <c r="AD21" s="47"/>
      <c r="AE21" s="47"/>
      <c r="AF21" s="47"/>
      <c r="AG21" s="47"/>
      <c r="AH21" s="47"/>
    </row>
    <row r="22" spans="1:34" ht="13.95" customHeight="1" x14ac:dyDescent="0.55000000000000004">
      <c r="A22" s="49" t="s">
        <v>21</v>
      </c>
      <c r="B22" s="50">
        <v>69000</v>
      </c>
      <c r="C22" s="51">
        <v>25000</v>
      </c>
      <c r="D22" s="52">
        <v>175.99999999999997</v>
      </c>
      <c r="E22" s="51">
        <v>111000</v>
      </c>
      <c r="F22" s="53">
        <v>-37.837837837837839</v>
      </c>
      <c r="H22" s="47"/>
      <c r="I22" s="48"/>
      <c r="AA22" s="47"/>
      <c r="AB22" s="47"/>
      <c r="AC22" s="47"/>
      <c r="AD22" s="47"/>
      <c r="AE22" s="47"/>
      <c r="AF22" s="47"/>
      <c r="AG22" s="47"/>
      <c r="AH22" s="47"/>
    </row>
    <row r="23" spans="1:34" ht="13.95" customHeight="1" x14ac:dyDescent="0.55000000000000004">
      <c r="A23" s="49" t="s">
        <v>22</v>
      </c>
      <c r="B23" s="50">
        <v>1864720.89360413</v>
      </c>
      <c r="C23" s="51">
        <v>1271449.5610116799</v>
      </c>
      <c r="D23" s="52">
        <v>46.661019892947223</v>
      </c>
      <c r="E23" s="51">
        <v>1563549.73464282</v>
      </c>
      <c r="F23" s="53">
        <v>19.262013371778686</v>
      </c>
      <c r="H23" s="47"/>
      <c r="I23" s="48"/>
      <c r="AA23" s="47"/>
      <c r="AB23" s="47"/>
      <c r="AC23" s="47"/>
      <c r="AD23" s="47"/>
      <c r="AE23" s="47"/>
      <c r="AF23" s="47"/>
      <c r="AG23" s="47"/>
      <c r="AH23" s="47"/>
    </row>
    <row r="24" spans="1:34" ht="13.95" customHeight="1" x14ac:dyDescent="0.55000000000000004">
      <c r="A24" s="42" t="s">
        <v>23</v>
      </c>
      <c r="B24" s="43">
        <v>68200</v>
      </c>
      <c r="C24" s="44">
        <v>30000</v>
      </c>
      <c r="D24" s="45">
        <v>127.33333333333334</v>
      </c>
      <c r="E24" s="44">
        <v>69000</v>
      </c>
      <c r="F24" s="46">
        <v>-1.1594202898550732</v>
      </c>
      <c r="H24" s="47"/>
      <c r="I24" s="48"/>
      <c r="AA24" s="47"/>
      <c r="AB24" s="47"/>
      <c r="AC24" s="47"/>
      <c r="AD24" s="47"/>
      <c r="AE24" s="47"/>
      <c r="AF24" s="47"/>
      <c r="AG24" s="47"/>
      <c r="AH24" s="47"/>
    </row>
    <row r="25" spans="1:34" ht="14.7" customHeight="1" x14ac:dyDescent="0.55000000000000004">
      <c r="A25" s="42" t="s">
        <v>24</v>
      </c>
      <c r="B25" s="43">
        <v>321267.49669122999</v>
      </c>
      <c r="C25" s="44">
        <v>171215.89963110999</v>
      </c>
      <c r="D25" s="45">
        <v>87.638821735254055</v>
      </c>
      <c r="E25" s="44">
        <v>315897.5672312</v>
      </c>
      <c r="F25" s="46">
        <v>1.6998957944173831</v>
      </c>
      <c r="H25" s="47"/>
      <c r="I25" s="48"/>
      <c r="AA25" s="47"/>
      <c r="AB25" s="47"/>
      <c r="AC25" s="47"/>
      <c r="AD25" s="47"/>
      <c r="AE25" s="47"/>
      <c r="AF25" s="47"/>
      <c r="AG25" s="47"/>
      <c r="AH25" s="47"/>
    </row>
    <row r="26" spans="1:34" ht="14.7" customHeight="1" x14ac:dyDescent="0.55000000000000004">
      <c r="A26" s="42" t="s">
        <v>25</v>
      </c>
      <c r="B26" s="43">
        <v>19961.95809656</v>
      </c>
      <c r="C26" s="44">
        <v>12815.342520445001</v>
      </c>
      <c r="D26" s="45">
        <v>55.766091032788403</v>
      </c>
      <c r="E26" s="44">
        <v>16596.594192065</v>
      </c>
      <c r="F26" s="46">
        <v>20.277436837637541</v>
      </c>
      <c r="H26" s="47"/>
      <c r="I26" s="48"/>
      <c r="AA26" s="47"/>
      <c r="AB26" s="47"/>
      <c r="AC26" s="47"/>
      <c r="AD26" s="47"/>
      <c r="AE26" s="47"/>
      <c r="AF26" s="47"/>
      <c r="AG26" s="47"/>
      <c r="AH26" s="47"/>
    </row>
    <row r="27" spans="1:34" ht="14.7" customHeight="1" x14ac:dyDescent="0.55000000000000004">
      <c r="A27" s="42" t="s">
        <v>26</v>
      </c>
      <c r="B27" s="43">
        <v>544856.86677203001</v>
      </c>
      <c r="C27" s="44">
        <v>645168.01848032</v>
      </c>
      <c r="D27" s="45">
        <v>-15.548066369528179</v>
      </c>
      <c r="E27" s="44">
        <v>591544.25989418</v>
      </c>
      <c r="F27" s="46">
        <v>-7.8924598356345799</v>
      </c>
      <c r="H27" s="47"/>
      <c r="I27" s="48"/>
      <c r="AA27" s="47"/>
      <c r="AB27" s="47"/>
      <c r="AC27" s="47"/>
      <c r="AD27" s="47"/>
      <c r="AE27" s="47"/>
      <c r="AF27" s="47"/>
      <c r="AG27" s="47"/>
      <c r="AH27" s="47"/>
    </row>
    <row r="28" spans="1:34" ht="14.7" customHeight="1" x14ac:dyDescent="0.55000000000000004">
      <c r="A28" s="42" t="s">
        <v>27</v>
      </c>
      <c r="B28" s="43">
        <v>497886.40917708003</v>
      </c>
      <c r="C28" s="44">
        <v>324671.30216776999</v>
      </c>
      <c r="D28" s="45">
        <v>53.350913940586977</v>
      </c>
      <c r="E28" s="44">
        <v>400467.63657638</v>
      </c>
      <c r="F28" s="46">
        <v>24.326253535376431</v>
      </c>
      <c r="H28" s="47"/>
      <c r="I28" s="48"/>
      <c r="AA28" s="47"/>
      <c r="AB28" s="47"/>
      <c r="AC28" s="47"/>
      <c r="AD28" s="47"/>
      <c r="AE28" s="47"/>
      <c r="AF28" s="47"/>
      <c r="AG28" s="47"/>
      <c r="AH28" s="47"/>
    </row>
    <row r="29" spans="1:34" ht="14.7" customHeight="1" x14ac:dyDescent="0.55000000000000004">
      <c r="A29" s="42" t="s">
        <v>6</v>
      </c>
      <c r="B29" s="43">
        <v>262914.20807823003</v>
      </c>
      <c r="C29" s="44">
        <v>46121.275450749992</v>
      </c>
      <c r="D29" s="45">
        <v>470.04973411669761</v>
      </c>
      <c r="E29" s="44">
        <v>447098.66210353997</v>
      </c>
      <c r="F29" s="46">
        <v>-41.195483153258948</v>
      </c>
      <c r="H29" s="47"/>
      <c r="I29" s="48"/>
      <c r="AA29" s="47"/>
      <c r="AB29" s="47"/>
      <c r="AC29" s="47"/>
      <c r="AD29" s="47"/>
      <c r="AE29" s="47"/>
      <c r="AF29" s="47"/>
      <c r="AG29" s="47"/>
      <c r="AH29" s="47"/>
    </row>
    <row r="30" spans="1:34" ht="14.7" customHeight="1" x14ac:dyDescent="0.55000000000000004">
      <c r="A30" s="42" t="s">
        <v>28</v>
      </c>
      <c r="B30" s="43">
        <v>47955.301676769996</v>
      </c>
      <c r="C30" s="44">
        <v>32552.08150891</v>
      </c>
      <c r="D30" s="45">
        <v>47.318695007702956</v>
      </c>
      <c r="E30" s="44">
        <v>91672.755658060007</v>
      </c>
      <c r="F30" s="46">
        <v>-47.688600247118572</v>
      </c>
      <c r="H30" s="47"/>
      <c r="I30" s="48"/>
      <c r="AA30" s="47"/>
      <c r="AB30" s="47"/>
      <c r="AC30" s="47"/>
      <c r="AD30" s="47"/>
      <c r="AE30" s="47"/>
      <c r="AF30" s="47"/>
      <c r="AG30" s="47"/>
      <c r="AH30" s="47"/>
    </row>
    <row r="31" spans="1:34" ht="14.7" customHeight="1" x14ac:dyDescent="0.55000000000000004">
      <c r="A31" s="42" t="s">
        <v>29</v>
      </c>
      <c r="B31" s="43">
        <v>1067669.8251368999</v>
      </c>
      <c r="C31" s="44">
        <v>463278.38607327</v>
      </c>
      <c r="D31" s="45">
        <v>130.45966685094652</v>
      </c>
      <c r="E31" s="44">
        <v>1014834.82551891</v>
      </c>
      <c r="F31" s="46">
        <v>5.2062659153398805</v>
      </c>
      <c r="H31" s="47"/>
      <c r="I31" s="48"/>
      <c r="AA31" s="47"/>
      <c r="AB31" s="47"/>
      <c r="AC31" s="47"/>
      <c r="AD31" s="47"/>
      <c r="AE31" s="47"/>
      <c r="AF31" s="47"/>
      <c r="AG31" s="47"/>
      <c r="AH31" s="47"/>
    </row>
    <row r="32" spans="1:34" ht="14.7" customHeight="1" x14ac:dyDescent="0.55000000000000004">
      <c r="A32" s="42" t="s">
        <v>7</v>
      </c>
      <c r="B32" s="43">
        <v>964.1133899499996</v>
      </c>
      <c r="C32" s="44">
        <v>469198.66156141</v>
      </c>
      <c r="D32" s="45">
        <v>-99.794519151708243</v>
      </c>
      <c r="E32" s="44">
        <v>107156.60564926</v>
      </c>
      <c r="F32" s="46">
        <v>-99.10027628804734</v>
      </c>
      <c r="H32" s="47"/>
      <c r="I32" s="48"/>
      <c r="AA32" s="47"/>
      <c r="AB32" s="47"/>
      <c r="AC32" s="47"/>
      <c r="AD32" s="47"/>
      <c r="AE32" s="47"/>
      <c r="AF32" s="47"/>
      <c r="AG32" s="47"/>
      <c r="AH32" s="47"/>
    </row>
    <row r="33" spans="1:34" ht="14.7" customHeight="1" x14ac:dyDescent="0.55000000000000004">
      <c r="A33" s="42" t="s">
        <v>30</v>
      </c>
      <c r="B33" s="43">
        <v>10315.76051855</v>
      </c>
      <c r="C33" s="44">
        <v>0</v>
      </c>
      <c r="D33" s="45" t="s">
        <v>31</v>
      </c>
      <c r="E33" s="44">
        <v>33949.924644279999</v>
      </c>
      <c r="F33" s="46">
        <f>--69.6147763901207</f>
        <v>69.614776390120696</v>
      </c>
      <c r="H33" s="47"/>
      <c r="I33" s="48"/>
      <c r="AA33" s="47"/>
      <c r="AB33" s="47"/>
      <c r="AC33" s="47"/>
      <c r="AD33" s="47"/>
      <c r="AE33" s="47"/>
      <c r="AF33" s="47"/>
      <c r="AG33" s="47"/>
      <c r="AH33" s="47"/>
    </row>
    <row r="34" spans="1:34" ht="14.7" customHeight="1" x14ac:dyDescent="0.55000000000000004">
      <c r="A34" s="42" t="s">
        <v>32</v>
      </c>
      <c r="B34" s="43">
        <v>97391.70534420012</v>
      </c>
      <c r="C34" s="44">
        <v>26406.069125885038</v>
      </c>
      <c r="D34" s="45">
        <v>268.82318560898597</v>
      </c>
      <c r="E34" s="44">
        <v>20006.841161185006</v>
      </c>
      <c r="F34" s="46">
        <v>386.79201558888974</v>
      </c>
      <c r="H34" s="47"/>
      <c r="I34" s="48"/>
      <c r="AA34" s="47"/>
      <c r="AB34" s="47"/>
      <c r="AC34" s="47"/>
      <c r="AD34" s="47"/>
      <c r="AE34" s="47"/>
      <c r="AF34" s="47"/>
      <c r="AG34" s="47"/>
      <c r="AH34" s="47"/>
    </row>
    <row r="35" spans="1:34" ht="14.7" customHeight="1" x14ac:dyDescent="0.55000000000000004">
      <c r="A35" s="42" t="s">
        <v>33</v>
      </c>
      <c r="B35" s="43">
        <v>1656854.1016375702</v>
      </c>
      <c r="C35" s="44">
        <v>637396.44078919</v>
      </c>
      <c r="D35" s="45">
        <v>159.94090892414499</v>
      </c>
      <c r="E35" s="44">
        <v>1174701.5139009</v>
      </c>
      <c r="F35" s="46">
        <v>41.044689398207865</v>
      </c>
      <c r="H35" s="47"/>
      <c r="I35" s="48"/>
      <c r="AA35" s="47"/>
      <c r="AB35" s="47"/>
      <c r="AC35" s="47"/>
      <c r="AD35" s="47"/>
      <c r="AE35" s="47"/>
      <c r="AF35" s="47"/>
      <c r="AG35" s="47"/>
      <c r="AH35" s="47"/>
    </row>
    <row r="36" spans="1:34" ht="14.7" customHeight="1" x14ac:dyDescent="0.55000000000000004">
      <c r="A36" s="42" t="s">
        <v>34</v>
      </c>
      <c r="B36" s="43">
        <v>2627792.8364874399</v>
      </c>
      <c r="C36" s="44">
        <v>1016656.15448934</v>
      </c>
      <c r="D36" s="45">
        <v>158.47409912227047</v>
      </c>
      <c r="E36" s="44">
        <v>1825700.38896725</v>
      </c>
      <c r="F36" s="46">
        <v>43.933410562174011</v>
      </c>
      <c r="H36" s="47"/>
      <c r="I36" s="48"/>
      <c r="AA36" s="47"/>
      <c r="AB36" s="47"/>
      <c r="AC36" s="47"/>
      <c r="AD36" s="47"/>
      <c r="AE36" s="47"/>
      <c r="AF36" s="47"/>
      <c r="AG36" s="47"/>
      <c r="AH36" s="47"/>
    </row>
    <row r="37" spans="1:34" ht="14.7" customHeight="1" x14ac:dyDescent="0.55000000000000004">
      <c r="A37" s="42" t="s">
        <v>35</v>
      </c>
      <c r="B37" s="43">
        <v>71132.107684749993</v>
      </c>
      <c r="C37" s="44">
        <v>28346.399247400001</v>
      </c>
      <c r="D37" s="45">
        <v>150.93877731675005</v>
      </c>
      <c r="E37" s="44">
        <v>84129.402552500018</v>
      </c>
      <c r="F37" s="46">
        <v>-15.44917053183541</v>
      </c>
      <c r="H37" s="47"/>
      <c r="I37" s="48"/>
      <c r="AA37" s="47"/>
      <c r="AB37" s="47"/>
      <c r="AC37" s="47"/>
      <c r="AD37" s="47"/>
      <c r="AE37" s="47"/>
      <c r="AF37" s="47"/>
      <c r="AG37" s="47"/>
      <c r="AH37" s="47"/>
    </row>
    <row r="38" spans="1:34" ht="14.7" customHeight="1" x14ac:dyDescent="0.55000000000000004">
      <c r="A38" s="42" t="s">
        <v>36</v>
      </c>
      <c r="B38" s="43">
        <v>34808.673448779824</v>
      </c>
      <c r="C38" s="44">
        <v>16638.6541604905</v>
      </c>
      <c r="D38" s="45">
        <v>109.20365982144844</v>
      </c>
      <c r="E38" s="44">
        <v>74740.360500239694</v>
      </c>
      <c r="F38" s="46">
        <v>-53.427206912297144</v>
      </c>
      <c r="H38" s="47"/>
      <c r="I38" s="48"/>
      <c r="AA38" s="47"/>
      <c r="AB38" s="47"/>
      <c r="AC38" s="47"/>
      <c r="AD38" s="47"/>
      <c r="AE38" s="47"/>
      <c r="AF38" s="47"/>
      <c r="AG38" s="47"/>
      <c r="AH38" s="47"/>
    </row>
    <row r="39" spans="1:34" ht="6" customHeight="1" x14ac:dyDescent="0.55000000000000004">
      <c r="A39" s="54"/>
      <c r="B39" s="55"/>
      <c r="C39" s="44"/>
      <c r="D39" s="45"/>
      <c r="E39" s="44"/>
      <c r="F39" s="46"/>
      <c r="H39" s="47"/>
      <c r="I39" s="48"/>
      <c r="AA39" s="47"/>
      <c r="AB39" s="47"/>
      <c r="AC39" s="47"/>
      <c r="AD39" s="47"/>
      <c r="AE39" s="47"/>
      <c r="AF39" s="47"/>
      <c r="AG39" s="47"/>
      <c r="AH39" s="47"/>
    </row>
    <row r="40" spans="1:34" ht="14.7" customHeight="1" x14ac:dyDescent="0.55000000000000004">
      <c r="A40" s="42" t="s">
        <v>37</v>
      </c>
      <c r="B40" s="43">
        <v>7444397.3915179903</v>
      </c>
      <c r="C40" s="44">
        <v>3558663.41927379</v>
      </c>
      <c r="D40" s="45">
        <v>109.1908257240342</v>
      </c>
      <c r="E40" s="44">
        <v>7149970.8656459711</v>
      </c>
      <c r="F40" s="46">
        <v>4.1178702879290485</v>
      </c>
      <c r="H40" s="47"/>
      <c r="I40" s="48"/>
      <c r="AA40" s="47"/>
      <c r="AB40" s="47"/>
      <c r="AC40" s="47"/>
      <c r="AD40" s="47"/>
      <c r="AE40" s="47"/>
      <c r="AF40" s="47"/>
      <c r="AG40" s="47"/>
      <c r="AH40" s="47"/>
    </row>
    <row r="41" spans="1:34" ht="14.7" customHeight="1" x14ac:dyDescent="0.55000000000000004">
      <c r="A41" s="42" t="s">
        <v>38</v>
      </c>
      <c r="B41" s="43">
        <v>3266325.3228185698</v>
      </c>
      <c r="C41" s="44">
        <v>2475463.6256137602</v>
      </c>
      <c r="D41" s="45">
        <v>31.948023352947686</v>
      </c>
      <c r="E41" s="44">
        <v>2855420.8669551001</v>
      </c>
      <c r="F41" s="46">
        <v>14.390328957063382</v>
      </c>
      <c r="H41" s="47"/>
      <c r="I41" s="48"/>
      <c r="AA41" s="47"/>
      <c r="AB41" s="47"/>
      <c r="AC41" s="47"/>
      <c r="AD41" s="47"/>
      <c r="AE41" s="47"/>
      <c r="AF41" s="47"/>
      <c r="AG41" s="47"/>
      <c r="AH41" s="47"/>
    </row>
    <row r="42" spans="1:34" ht="14.7" customHeight="1" x14ac:dyDescent="0.55000000000000004">
      <c r="A42" s="42" t="s">
        <v>39</v>
      </c>
      <c r="B42" s="43">
        <v>10710722.714336559</v>
      </c>
      <c r="C42" s="44">
        <v>6034127.0448875502</v>
      </c>
      <c r="D42" s="45">
        <v>77.502439618192696</v>
      </c>
      <c r="E42" s="44">
        <v>10005391.732601071</v>
      </c>
      <c r="F42" s="46">
        <v>7.0495089106533682</v>
      </c>
      <c r="H42" s="47"/>
      <c r="I42" s="48"/>
      <c r="AA42" s="47"/>
      <c r="AB42" s="47"/>
      <c r="AC42" s="47"/>
      <c r="AD42" s="47"/>
      <c r="AE42" s="47"/>
      <c r="AF42" s="47"/>
      <c r="AG42" s="47"/>
      <c r="AH42" s="47"/>
    </row>
    <row r="43" spans="1:34" ht="20.7" customHeight="1" x14ac:dyDescent="0.55000000000000004">
      <c r="A43" s="42" t="s">
        <v>40</v>
      </c>
      <c r="B43" s="43">
        <v>4320970.3723609801</v>
      </c>
      <c r="C43" s="44">
        <v>1665760.3403654394</v>
      </c>
      <c r="D43" s="45">
        <v>159.39928257705023</v>
      </c>
      <c r="E43" s="44">
        <v>3009790.9449204099</v>
      </c>
      <c r="F43" s="46">
        <v>43.563803979589764</v>
      </c>
      <c r="H43" s="47"/>
      <c r="I43" s="48"/>
      <c r="AA43" s="47"/>
      <c r="AB43" s="47"/>
      <c r="AC43" s="47"/>
      <c r="AD43" s="47"/>
      <c r="AE43" s="47"/>
      <c r="AF43" s="47"/>
      <c r="AG43" s="47"/>
      <c r="AH43" s="47"/>
    </row>
    <row r="44" spans="1:34" ht="3" customHeight="1" x14ac:dyDescent="0.55000000000000004">
      <c r="A44" s="56"/>
      <c r="B44" s="57"/>
      <c r="C44" s="58"/>
      <c r="D44" s="59"/>
      <c r="E44" s="58"/>
      <c r="F44" s="60"/>
      <c r="H44" s="47"/>
      <c r="I44" s="48"/>
    </row>
    <row r="45" spans="1:34" ht="19.5" customHeight="1" x14ac:dyDescent="0.55000000000000004">
      <c r="A45" s="61" t="s">
        <v>41</v>
      </c>
      <c r="B45" s="63">
        <v>15031693.086697541</v>
      </c>
      <c r="C45" s="62">
        <v>7699887.3852529898</v>
      </c>
      <c r="D45" s="64">
        <v>95.219648478062197</v>
      </c>
      <c r="E45" s="62">
        <v>13015182.67752148</v>
      </c>
      <c r="F45" s="65">
        <v>15.493523672616405</v>
      </c>
      <c r="H45" s="47"/>
      <c r="I45" s="48"/>
      <c r="AA45" s="47"/>
      <c r="AB45" s="47"/>
      <c r="AC45" s="47"/>
      <c r="AD45" s="47"/>
      <c r="AE45" s="47"/>
      <c r="AF45" s="47"/>
      <c r="AG45" s="47"/>
      <c r="AH45" s="47"/>
    </row>
    <row r="46" spans="1:34" ht="4.95" hidden="1" customHeight="1" x14ac:dyDescent="0.55000000000000004">
      <c r="A46" s="66"/>
      <c r="B46" s="69"/>
      <c r="C46" s="67"/>
      <c r="D46" s="68"/>
      <c r="E46" s="67"/>
      <c r="F46" s="70"/>
      <c r="H46" s="47"/>
      <c r="I46" s="48"/>
      <c r="AA46" s="47"/>
      <c r="AB46" s="47"/>
      <c r="AC46" s="47"/>
      <c r="AD46" s="47"/>
      <c r="AE46" s="47"/>
      <c r="AF46" s="47"/>
      <c r="AG46" s="47"/>
      <c r="AH46" s="47"/>
    </row>
    <row r="47" spans="1:34" s="76" customFormat="1" ht="22.95" hidden="1" customHeight="1" x14ac:dyDescent="0.55000000000000004">
      <c r="A47" s="71"/>
      <c r="B47" s="74"/>
      <c r="C47" s="72"/>
      <c r="D47" s="73"/>
      <c r="E47" s="72"/>
      <c r="F47" s="75"/>
      <c r="H47" s="77"/>
      <c r="I47" s="48"/>
      <c r="AA47" s="77"/>
      <c r="AB47" s="77"/>
      <c r="AC47" s="77"/>
      <c r="AD47" s="77"/>
      <c r="AE47" s="77"/>
      <c r="AF47" s="77"/>
      <c r="AG47" s="77"/>
      <c r="AH47" s="77"/>
    </row>
    <row r="48" spans="1:34" s="76" customFormat="1" ht="12" hidden="1" customHeight="1" x14ac:dyDescent="0.55000000000000004">
      <c r="A48" s="71"/>
      <c r="B48" s="57"/>
      <c r="C48" s="72"/>
      <c r="D48" s="73"/>
      <c r="E48" s="72"/>
      <c r="F48" s="75"/>
      <c r="H48" s="77"/>
      <c r="I48" s="48"/>
      <c r="AA48" s="77"/>
      <c r="AB48" s="77"/>
      <c r="AC48" s="77"/>
      <c r="AD48" s="77"/>
      <c r="AE48" s="77"/>
      <c r="AF48" s="77"/>
      <c r="AG48" s="77"/>
      <c r="AH48" s="77"/>
    </row>
    <row r="49" spans="1:34" s="76" customFormat="1" ht="21" hidden="1" customHeight="1" x14ac:dyDescent="0.55000000000000004">
      <c r="A49" s="71"/>
      <c r="B49" s="57"/>
      <c r="C49" s="72"/>
      <c r="D49" s="73"/>
      <c r="E49" s="72"/>
      <c r="F49" s="75"/>
      <c r="H49" s="77"/>
      <c r="I49" s="48"/>
      <c r="AA49" s="77"/>
      <c r="AB49" s="77"/>
      <c r="AC49" s="77"/>
      <c r="AD49" s="77"/>
      <c r="AE49" s="77"/>
      <c r="AF49" s="77"/>
      <c r="AG49" s="77"/>
      <c r="AH49" s="77"/>
    </row>
    <row r="50" spans="1:34" s="76" customFormat="1" ht="14.7" hidden="1" customHeight="1" x14ac:dyDescent="0.55000000000000004">
      <c r="A50" s="71"/>
      <c r="B50" s="78"/>
      <c r="C50" s="72"/>
      <c r="D50" s="73"/>
      <c r="E50" s="72"/>
      <c r="F50" s="75"/>
      <c r="H50" s="77"/>
      <c r="I50" s="48"/>
      <c r="AA50" s="77"/>
      <c r="AB50" s="77"/>
      <c r="AC50" s="77"/>
      <c r="AD50" s="77"/>
      <c r="AE50" s="77"/>
      <c r="AF50" s="77"/>
      <c r="AG50" s="77"/>
      <c r="AH50" s="77"/>
    </row>
    <row r="51" spans="1:34" s="76" customFormat="1" ht="12" hidden="1" customHeight="1" x14ac:dyDescent="0.55000000000000004">
      <c r="A51" s="71"/>
      <c r="B51" s="78"/>
      <c r="C51" s="72"/>
      <c r="D51" s="73"/>
      <c r="E51" s="72"/>
      <c r="F51" s="75"/>
      <c r="H51" s="77"/>
      <c r="I51" s="48"/>
      <c r="AA51" s="77"/>
      <c r="AB51" s="77"/>
      <c r="AC51" s="77"/>
      <c r="AD51" s="77"/>
      <c r="AE51" s="77"/>
      <c r="AF51" s="77"/>
      <c r="AG51" s="77"/>
      <c r="AH51" s="77"/>
    </row>
    <row r="52" spans="1:34" s="76" customFormat="1" ht="4.95" customHeight="1" x14ac:dyDescent="0.55000000000000004">
      <c r="A52" s="71"/>
      <c r="B52" s="57"/>
      <c r="C52" s="72"/>
      <c r="D52" s="73"/>
      <c r="E52" s="72"/>
      <c r="F52" s="75"/>
      <c r="H52" s="77"/>
      <c r="I52" s="48"/>
      <c r="AA52" s="77"/>
      <c r="AB52" s="77"/>
      <c r="AC52" s="77"/>
      <c r="AD52" s="77"/>
      <c r="AE52" s="77"/>
      <c r="AF52" s="77"/>
      <c r="AG52" s="77"/>
      <c r="AH52" s="77"/>
    </row>
    <row r="53" spans="1:34" s="76" customFormat="1" ht="21" customHeight="1" x14ac:dyDescent="0.55000000000000004">
      <c r="A53" s="42" t="s">
        <v>42</v>
      </c>
      <c r="B53" s="81">
        <v>15031693.086697541</v>
      </c>
      <c r="C53" s="79">
        <v>7699887.3852529898</v>
      </c>
      <c r="D53" s="80">
        <v>95.219648478062197</v>
      </c>
      <c r="E53" s="79">
        <v>13015182.677521482</v>
      </c>
      <c r="F53" s="82">
        <v>15.493523672616405</v>
      </c>
      <c r="H53" s="77"/>
      <c r="I53" s="48"/>
      <c r="AA53" s="77"/>
      <c r="AB53" s="77"/>
      <c r="AC53" s="77"/>
      <c r="AD53" s="77"/>
      <c r="AE53" s="77"/>
      <c r="AF53" s="77"/>
      <c r="AG53" s="77"/>
      <c r="AH53" s="77"/>
    </row>
    <row r="54" spans="1:34" ht="7.2" customHeight="1" x14ac:dyDescent="0.55000000000000004">
      <c r="A54" s="42"/>
      <c r="B54" s="55"/>
      <c r="C54" s="44"/>
      <c r="D54" s="45"/>
      <c r="E54" s="44"/>
      <c r="F54" s="46"/>
      <c r="H54" s="47"/>
      <c r="I54" s="48"/>
      <c r="AA54" s="47"/>
      <c r="AB54" s="47"/>
      <c r="AC54" s="47"/>
      <c r="AD54" s="47"/>
      <c r="AE54" s="47"/>
      <c r="AF54" s="47"/>
      <c r="AG54" s="47"/>
      <c r="AH54" s="47"/>
    </row>
    <row r="55" spans="1:34" ht="14.7" customHeight="1" x14ac:dyDescent="0.55000000000000004">
      <c r="A55" s="42" t="s">
        <v>43</v>
      </c>
      <c r="B55" s="43">
        <v>5670645.9932316765</v>
      </c>
      <c r="C55" s="44">
        <v>3350052.5333646806</v>
      </c>
      <c r="D55" s="45">
        <v>69.270360293015145</v>
      </c>
      <c r="E55" s="44">
        <v>5367898.3015483487</v>
      </c>
      <c r="F55" s="46">
        <v>5.6399669791806772</v>
      </c>
      <c r="H55" s="47"/>
      <c r="I55" s="48"/>
      <c r="AA55" s="47"/>
      <c r="AB55" s="47"/>
      <c r="AC55" s="47"/>
      <c r="AD55" s="47"/>
      <c r="AE55" s="47"/>
      <c r="AF55" s="47"/>
      <c r="AG55" s="47"/>
      <c r="AH55" s="47"/>
    </row>
    <row r="56" spans="1:34" ht="16.5" customHeight="1" x14ac:dyDescent="0.55000000000000004">
      <c r="A56" s="42" t="s">
        <v>44</v>
      </c>
      <c r="B56" s="43">
        <v>4146623.3971133265</v>
      </c>
      <c r="C56" s="44">
        <v>1593847.7894523519</v>
      </c>
      <c r="D56" s="45">
        <v>160.16432839788996</v>
      </c>
      <c r="E56" s="44">
        <v>2883563.7100270297</v>
      </c>
      <c r="F56" s="46">
        <v>43.802038522480125</v>
      </c>
      <c r="H56" s="47"/>
      <c r="I56" s="48"/>
      <c r="AA56" s="47"/>
      <c r="AB56" s="47"/>
      <c r="AC56" s="47"/>
      <c r="AD56" s="47"/>
      <c r="AE56" s="47"/>
      <c r="AF56" s="47"/>
      <c r="AG56" s="47"/>
      <c r="AH56" s="47"/>
    </row>
    <row r="57" spans="1:34" ht="16.5" customHeight="1" x14ac:dyDescent="0.55000000000000004">
      <c r="A57" s="42" t="s">
        <v>45</v>
      </c>
      <c r="B57" s="43">
        <v>4692659.6697392985</v>
      </c>
      <c r="C57" s="44">
        <v>2369746.3220942207</v>
      </c>
      <c r="D57" s="45">
        <v>98.023713592780055</v>
      </c>
      <c r="E57" s="44">
        <v>4266709.1355351983</v>
      </c>
      <c r="F57" s="46">
        <v>9.9831162770525061</v>
      </c>
      <c r="H57" s="47"/>
      <c r="I57" s="48"/>
      <c r="AA57" s="47"/>
      <c r="AB57" s="47"/>
      <c r="AC57" s="47"/>
      <c r="AD57" s="47"/>
      <c r="AE57" s="47"/>
      <c r="AF57" s="47"/>
      <c r="AG57" s="47"/>
      <c r="AH57" s="47"/>
    </row>
    <row r="58" spans="1:34" ht="16.2" customHeight="1" x14ac:dyDescent="0.55000000000000004">
      <c r="A58" s="42" t="s">
        <v>46</v>
      </c>
      <c r="B58" s="43">
        <v>521764.02661323838</v>
      </c>
      <c r="C58" s="44">
        <v>386240.74034173682</v>
      </c>
      <c r="D58" s="45">
        <v>35.087776124184543</v>
      </c>
      <c r="E58" s="44">
        <v>497011.53041090397</v>
      </c>
      <c r="F58" s="46">
        <v>4.9802659873645849</v>
      </c>
      <c r="H58" s="47"/>
      <c r="I58" s="48"/>
      <c r="AA58" s="47"/>
      <c r="AB58" s="47"/>
      <c r="AC58" s="47"/>
      <c r="AD58" s="47"/>
      <c r="AE58" s="47"/>
      <c r="AF58" s="47"/>
      <c r="AG58" s="47"/>
      <c r="AH58" s="47"/>
    </row>
    <row r="59" spans="1:34" ht="4" customHeight="1" thickBot="1" x14ac:dyDescent="0.6">
      <c r="A59" s="83"/>
      <c r="B59" s="86"/>
      <c r="C59" s="84"/>
      <c r="D59" s="85"/>
      <c r="E59" s="84"/>
      <c r="F59" s="87"/>
      <c r="I59" s="48"/>
    </row>
    <row r="60" spans="1:34" ht="23.7" customHeight="1" x14ac:dyDescent="0.55000000000000004">
      <c r="A60" s="88" t="s">
        <v>47</v>
      </c>
      <c r="B60" s="76"/>
      <c r="C60" s="76"/>
      <c r="D60" s="76"/>
      <c r="E60" s="76"/>
      <c r="F60" s="76"/>
      <c r="I60" s="48"/>
    </row>
    <row r="61" spans="1:34" ht="16.2" customHeight="1" x14ac:dyDescent="0.55000000000000004">
      <c r="A61" s="88" t="s">
        <v>48</v>
      </c>
      <c r="I61" s="48"/>
    </row>
    <row r="62" spans="1:34" ht="16.2" customHeight="1" x14ac:dyDescent="0.55000000000000004">
      <c r="A62" s="89" t="s">
        <v>49</v>
      </c>
    </row>
    <row r="63" spans="1:34" ht="16.2" customHeight="1" x14ac:dyDescent="0.55000000000000004">
      <c r="A63" s="89" t="s">
        <v>50</v>
      </c>
    </row>
    <row r="64" spans="1:34" ht="16.2" customHeight="1" x14ac:dyDescent="0.55000000000000004">
      <c r="A64" s="89" t="s">
        <v>51</v>
      </c>
    </row>
    <row r="65" spans="1:7" ht="15.9" customHeight="1" x14ac:dyDescent="0.55000000000000004">
      <c r="A65" s="89" t="s">
        <v>52</v>
      </c>
    </row>
    <row r="66" spans="1:7" ht="15.9" customHeight="1" x14ac:dyDescent="0.55000000000000004">
      <c r="A66" s="89" t="s">
        <v>53</v>
      </c>
    </row>
    <row r="67" spans="1:7" ht="15.9" customHeight="1" x14ac:dyDescent="0.55000000000000004">
      <c r="A67" s="89" t="s">
        <v>54</v>
      </c>
    </row>
    <row r="68" spans="1:7" ht="15.9" customHeight="1" x14ac:dyDescent="0.55000000000000004">
      <c r="A68" s="89" t="s">
        <v>55</v>
      </c>
    </row>
    <row r="69" spans="1:7" ht="15.9" customHeight="1" x14ac:dyDescent="0.55000000000000004">
      <c r="A69" s="89" t="s">
        <v>56</v>
      </c>
    </row>
    <row r="70" spans="1:7" ht="15.9" customHeight="1" x14ac:dyDescent="0.55000000000000004">
      <c r="A70" s="89" t="s">
        <v>57</v>
      </c>
    </row>
    <row r="71" spans="1:7" ht="15.45" x14ac:dyDescent="0.55000000000000004">
      <c r="A71" s="89"/>
      <c r="B71" s="90"/>
      <c r="C71" s="90"/>
      <c r="D71" s="90"/>
      <c r="E71" s="90"/>
      <c r="F71" s="90"/>
      <c r="G71" s="90"/>
    </row>
    <row r="72" spans="1:7" ht="15.45" x14ac:dyDescent="0.55000000000000004">
      <c r="A72" s="89" t="s">
        <v>59</v>
      </c>
    </row>
    <row r="73" spans="1:7" ht="15.45" x14ac:dyDescent="0.55000000000000004">
      <c r="A73" s="89" t="s">
        <v>58</v>
      </c>
    </row>
    <row r="74" spans="1:7" ht="15.45" x14ac:dyDescent="0.55000000000000004">
      <c r="A74" s="91" t="s">
        <v>8</v>
      </c>
    </row>
    <row r="75" spans="1:7" ht="15.45" x14ac:dyDescent="0.55000000000000004">
      <c r="A75" s="92" t="s">
        <v>9</v>
      </c>
    </row>
    <row r="76" spans="1:7" ht="15.45" x14ac:dyDescent="0.55000000000000004">
      <c r="A76" s="93" t="s">
        <v>10</v>
      </c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2025-Enero</vt:lpstr>
      <vt:lpstr>'2025-Enero'!Área_de_impresión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SERGIO</cp:lastModifiedBy>
  <dcterms:created xsi:type="dcterms:W3CDTF">2025-02-03T15:33:11Z</dcterms:created>
  <dcterms:modified xsi:type="dcterms:W3CDTF">2025-02-06T18:51:49Z</dcterms:modified>
</cp:coreProperties>
</file>